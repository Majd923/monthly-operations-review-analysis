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i360\"/>
    </mc:Choice>
  </mc:AlternateContent>
  <bookViews>
    <workbookView xWindow="0" yWindow="0" windowWidth="23040" windowHeight="9264" activeTab="1"/>
  </bookViews>
  <sheets>
    <sheet name="DATA " sheetId="1" r:id="rId1"/>
    <sheet name="Branch C -15%OC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5" i="2" s="1"/>
  <c r="D3" i="2"/>
  <c r="E3" i="2" s="1"/>
  <c r="E5" i="1"/>
  <c r="F5" i="1" s="1"/>
  <c r="E4" i="1"/>
  <c r="F4" i="1" s="1"/>
  <c r="E3" i="1"/>
  <c r="F3" i="1" s="1"/>
  <c r="D4" i="2" l="1"/>
  <c r="E4" i="2" l="1"/>
  <c r="E5" i="2" s="1"/>
  <c r="D5" i="2"/>
</calcChain>
</file>

<file path=xl/sharedStrings.xml><?xml version="1.0" encoding="utf-8"?>
<sst xmlns="http://schemas.openxmlformats.org/spreadsheetml/2006/main" count="31" uniqueCount="24">
  <si>
    <t xml:space="preserve">Branch </t>
  </si>
  <si>
    <t xml:space="preserve">Total Sales </t>
  </si>
  <si>
    <t>Operational Cost</t>
  </si>
  <si>
    <t>Customers Feedback</t>
  </si>
  <si>
    <t>Branch A</t>
  </si>
  <si>
    <t>Branch C</t>
  </si>
  <si>
    <t>Branch B</t>
  </si>
  <si>
    <t>" Great service, but long queues."</t>
  </si>
  <si>
    <t>" Always has stock, friendly staff."</t>
  </si>
  <si>
    <t>" Expensive shipping, slow delivery."</t>
  </si>
  <si>
    <t xml:space="preserve">Net Profit </t>
  </si>
  <si>
    <t>Profit Margin %</t>
  </si>
  <si>
    <t>Branch C (-15% OC )</t>
  </si>
  <si>
    <t xml:space="preserve">Customer Ranking </t>
  </si>
  <si>
    <t>Rank</t>
  </si>
  <si>
    <t xml:space="preserve">Justification </t>
  </si>
  <si>
    <t>Branch  B</t>
  </si>
  <si>
    <t>Branch  A</t>
  </si>
  <si>
    <t>Branch  C</t>
  </si>
  <si>
    <t>Customers appreciated the service quality, but long queues negatively affected satisfaction.</t>
  </si>
  <si>
    <t>Complaints about expensive and slow delivery indicate major customer experience issues.</t>
  </si>
  <si>
    <t>Customers highlighted friendly staff and product availability, showing the strongest overall  experience.</t>
  </si>
  <si>
    <t xml:space="preserve">Monthly Operations Review </t>
  </si>
  <si>
    <r>
      <t xml:space="preserve">Branch C </t>
    </r>
    <r>
      <rPr>
        <i/>
        <sz val="18"/>
        <color theme="1"/>
        <rFont val="Calibri"/>
        <family val="2"/>
        <scheme val="minor"/>
      </rPr>
      <t>(-15% OC)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</si>
</sst>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b/>
      <sz val="16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1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9" fontId="0" fillId="0" borderId="0" xfId="2" applyFont="1"/>
    <xf numFmtId="10" fontId="0" fillId="0" borderId="0" xfId="2" applyNumberFormat="1" applyFont="1"/>
    <xf numFmtId="0" fontId="2" fillId="2" borderId="1" xfId="0" applyFont="1" applyFill="1" applyBorder="1"/>
    <xf numFmtId="0" fontId="0" fillId="4" borderId="4" xfId="0" applyFont="1" applyFill="1" applyBorder="1"/>
    <xf numFmtId="10" fontId="0" fillId="4" borderId="5" xfId="2" applyNumberFormat="1" applyFont="1" applyFill="1" applyBorder="1"/>
    <xf numFmtId="0" fontId="0" fillId="3" borderId="4" xfId="0" applyFont="1" applyFill="1" applyBorder="1"/>
    <xf numFmtId="10" fontId="0" fillId="3" borderId="5" xfId="2" applyNumberFormat="1" applyFont="1" applyFill="1" applyBorder="1"/>
    <xf numFmtId="10" fontId="3" fillId="0" borderId="0" xfId="2" applyNumberFormat="1" applyFont="1"/>
    <xf numFmtId="164" fontId="0" fillId="0" borderId="0" xfId="1" applyNumberFormat="1" applyFont="1"/>
    <xf numFmtId="164" fontId="0" fillId="0" borderId="0" xfId="0" applyNumberFormat="1"/>
    <xf numFmtId="164" fontId="0" fillId="4" borderId="4" xfId="0" applyNumberFormat="1" applyFont="1" applyFill="1" applyBorder="1"/>
    <xf numFmtId="164" fontId="0" fillId="3" borderId="4" xfId="0" applyNumberFormat="1" applyFont="1" applyFill="1" applyBorder="1"/>
    <xf numFmtId="0" fontId="0" fillId="0" borderId="0" xfId="0" applyAlignment="1">
      <alignment vertical="center"/>
    </xf>
    <xf numFmtId="0" fontId="0" fillId="4" borderId="3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/>
    <xf numFmtId="0" fontId="2" fillId="2" borderId="6" xfId="0" applyFont="1" applyFill="1" applyBorder="1" applyAlignment="1"/>
    <xf numFmtId="0" fontId="2" fillId="2" borderId="1" xfId="0" applyFont="1" applyFill="1" applyBorder="1" applyAlignment="1"/>
    <xf numFmtId="164" fontId="0" fillId="4" borderId="4" xfId="1" applyNumberFormat="1" applyFont="1" applyFill="1" applyBorder="1" applyAlignment="1">
      <alignment horizontal="left" vertical="center"/>
    </xf>
    <xf numFmtId="164" fontId="0" fillId="3" borderId="4" xfId="1" applyNumberFormat="1" applyFont="1" applyFill="1" applyBorder="1" applyAlignment="1">
      <alignment horizontal="left" vertical="center"/>
    </xf>
    <xf numFmtId="164" fontId="0" fillId="0" borderId="0" xfId="0" applyNumberFormat="1" applyFont="1"/>
    <xf numFmtId="2" fontId="0" fillId="0" borderId="0" xfId="0" applyNumberFormat="1" applyFont="1"/>
    <xf numFmtId="0" fontId="5" fillId="0" borderId="11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</cellXfs>
  <cellStyles count="3">
    <cellStyle name="Currency" xfId="1" builtinId="4"/>
    <cellStyle name="Normal" xfId="0" builtinId="0"/>
    <cellStyle name="Percent" xfId="2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'!$E$2</c:f>
              <c:strCache>
                <c:ptCount val="1"/>
                <c:pt idx="0">
                  <c:v>Net Profit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'!$A$3:$A$5</c:f>
              <c:strCache>
                <c:ptCount val="3"/>
                <c:pt idx="0">
                  <c:v>Branch A</c:v>
                </c:pt>
                <c:pt idx="1">
                  <c:v>Branch B</c:v>
                </c:pt>
                <c:pt idx="2">
                  <c:v>Branch C</c:v>
                </c:pt>
              </c:strCache>
            </c:strRef>
          </c:cat>
          <c:val>
            <c:numRef>
              <c:f>'DATA '!$E$3:$E$5</c:f>
              <c:numCache>
                <c:formatCode>_("$"* #,##0_);_("$"* \(#,##0\);_("$"* "-"??_);_(@_)</c:formatCode>
                <c:ptCount val="3"/>
                <c:pt idx="0">
                  <c:v>13000</c:v>
                </c:pt>
                <c:pt idx="1">
                  <c:v>17500</c:v>
                </c:pt>
                <c:pt idx="2">
                  <c:v>4000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4094400"/>
        <c:axId val="2064094944"/>
      </c:barChart>
      <c:catAx>
        <c:axId val="20640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94944"/>
        <c:crosses val="autoZero"/>
        <c:auto val="1"/>
        <c:lblAlgn val="ctr"/>
        <c:lblOffset val="100"/>
        <c:noMultiLvlLbl val="0"/>
      </c:catAx>
      <c:valAx>
        <c:axId val="20640949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20640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'!$C$2</c:f>
              <c:strCache>
                <c:ptCount val="1"/>
                <c:pt idx="0">
                  <c:v>Operational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'!$A$3:$A$5</c:f>
              <c:strCache>
                <c:ptCount val="3"/>
                <c:pt idx="0">
                  <c:v>Branch A</c:v>
                </c:pt>
                <c:pt idx="1">
                  <c:v>Branch B</c:v>
                </c:pt>
                <c:pt idx="2">
                  <c:v>Branch C</c:v>
                </c:pt>
              </c:strCache>
            </c:strRef>
          </c:cat>
          <c:val>
            <c:numRef>
              <c:f>'DATA '!$C$3:$C$5</c:f>
              <c:numCache>
                <c:formatCode>_("$"* #,##0_);_("$"* \(#,##0\);_("$"* "-"??_);_(@_)</c:formatCode>
                <c:ptCount val="3"/>
                <c:pt idx="0">
                  <c:v>32000</c:v>
                </c:pt>
                <c:pt idx="1">
                  <c:v>21000</c:v>
                </c:pt>
                <c:pt idx="2">
                  <c:v>48000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4100928"/>
        <c:axId val="2064103648"/>
      </c:barChart>
      <c:catAx>
        <c:axId val="206410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03648"/>
        <c:crosses val="autoZero"/>
        <c:auto val="1"/>
        <c:lblAlgn val="ctr"/>
        <c:lblOffset val="100"/>
        <c:noMultiLvlLbl val="0"/>
      </c:catAx>
      <c:valAx>
        <c:axId val="20641036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06410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'!$F$2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'!$A$3:$A$5</c:f>
              <c:strCache>
                <c:ptCount val="3"/>
                <c:pt idx="0">
                  <c:v>Branch A</c:v>
                </c:pt>
                <c:pt idx="1">
                  <c:v>Branch B</c:v>
                </c:pt>
                <c:pt idx="2">
                  <c:v>Branch C</c:v>
                </c:pt>
              </c:strCache>
            </c:strRef>
          </c:cat>
          <c:val>
            <c:numRef>
              <c:f>'DATA '!$F$3:$F$5</c:f>
              <c:numCache>
                <c:formatCode>0.00%</c:formatCode>
                <c:ptCount val="3"/>
                <c:pt idx="0">
                  <c:v>0.28888888888888886</c:v>
                </c:pt>
                <c:pt idx="1">
                  <c:v>0.45454545454545453</c:v>
                </c:pt>
                <c:pt idx="2">
                  <c:v>7.6923076923076927E-2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4096576"/>
        <c:axId val="2064097120"/>
      </c:barChart>
      <c:catAx>
        <c:axId val="206409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97120"/>
        <c:crosses val="autoZero"/>
        <c:auto val="1"/>
        <c:lblAlgn val="ctr"/>
        <c:lblOffset val="100"/>
        <c:noMultiLvlLbl val="0"/>
      </c:catAx>
      <c:valAx>
        <c:axId val="20640971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206409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</a:t>
            </a:r>
            <a:r>
              <a:rPr lang="en-US" baseline="0"/>
              <a:t> and After the 15% reduction on Branch C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'Branch C -15%OC'!$C$2</c:f>
              <c:strCache>
                <c:ptCount val="1"/>
                <c:pt idx="0">
                  <c:v>Operational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'Branch C -15%OC'!$A$3:$A$4</c:f>
              <c:strCache>
                <c:ptCount val="2"/>
                <c:pt idx="0">
                  <c:v>Branch C</c:v>
                </c:pt>
                <c:pt idx="1">
                  <c:v>Branch C (-15% OC )</c:v>
                </c:pt>
              </c:strCache>
            </c:strRef>
          </c:cat>
          <c:val>
            <c:numRef>
              <c:f>'Branch C -15%OC'!$C$3:$C$4</c:f>
              <c:numCache>
                <c:formatCode>_("$"* #,##0_);_("$"* \(#,##0\);_("$"* "-"??_);_(@_)</c:formatCode>
                <c:ptCount val="2"/>
                <c:pt idx="0">
                  <c:v>48000</c:v>
                </c:pt>
                <c:pt idx="1">
                  <c:v>40800</c:v>
                </c:pt>
              </c:numCache>
            </c:numRef>
          </c:val>
        </c:ser>
        <c:ser>
          <c:idx val="3"/>
          <c:order val="3"/>
          <c:tx>
            <c:strRef>
              <c:f>'Branch C -15%OC'!$D$2</c:f>
              <c:strCache>
                <c:ptCount val="1"/>
                <c:pt idx="0">
                  <c:v>Net Profit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'Branch C -15%OC'!$A$3:$A$4</c:f>
              <c:strCache>
                <c:ptCount val="2"/>
                <c:pt idx="0">
                  <c:v>Branch C</c:v>
                </c:pt>
                <c:pt idx="1">
                  <c:v>Branch C (-15% OC )</c:v>
                </c:pt>
              </c:strCache>
            </c:strRef>
          </c:cat>
          <c:val>
            <c:numRef>
              <c:f>'Branch C -15%OC'!$D$3:$D$4</c:f>
              <c:numCache>
                <c:formatCode>_("$"* #,##0_);_("$"* \(#,##0\);_("$"* "-"??_);_(@_)</c:formatCode>
                <c:ptCount val="2"/>
                <c:pt idx="0">
                  <c:v>4000</c:v>
                </c:pt>
                <c:pt idx="1">
                  <c:v>11200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4098208"/>
        <c:axId val="20640976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'Branch C -15%OC'!$A$2</c15:sqref>
                        </c15:formulaRef>
                      </c:ext>
                    </c:extLst>
                    <c:strCache>
                      <c:ptCount val="1"/>
                      <c:pt idx="0">
                        <c:v>Branch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'Branch C -15%OC'!$A$3:$A$4</c15:sqref>
                        </c15:formulaRef>
                      </c:ext>
                    </c:extLst>
                    <c:strCache>
                      <c:ptCount val="2"/>
                      <c:pt idx="0">
                        <c:v>Branch C</c:v>
                      </c:pt>
                      <c:pt idx="1">
                        <c:v>Branch C (-15% OC 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'Branch C -15%OC'!$A$3:$A$4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'Branch C -15%OC'!$B$2</c15:sqref>
                        </c15:formulaRef>
                      </c:ext>
                    </c:extLst>
                    <c:strCache>
                      <c:ptCount val="1"/>
                      <c:pt idx="0">
                        <c:v>Total Sales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'Branch C -15%OC'!$A$3:$A$4</c15:sqref>
                        </c15:formulaRef>
                      </c:ext>
                    </c:extLst>
                    <c:strCache>
                      <c:ptCount val="2"/>
                      <c:pt idx="0">
                        <c:v>Branch C</c:v>
                      </c:pt>
                      <c:pt idx="1">
                        <c:v>Branch C (-15% OC 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'Branch C -15%OC'!$B$3:$B$4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2"/>
                      <c:pt idx="0">
                        <c:v>52000</c:v>
                      </c:pt>
                      <c:pt idx="1">
                        <c:v>52000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'Branch C -15%OC'!$E$2</c15:sqref>
                        </c15:formulaRef>
                      </c:ext>
                    </c:extLst>
                    <c:strCache>
                      <c:ptCount val="1"/>
                      <c:pt idx="0">
                        <c:v>Profit Margin %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'Branch C -15%OC'!$A$3:$A$4</c15:sqref>
                        </c15:formulaRef>
                      </c:ext>
                    </c:extLst>
                    <c:strCache>
                      <c:ptCount val="2"/>
                      <c:pt idx="0">
                        <c:v>Branch C</c:v>
                      </c:pt>
                      <c:pt idx="1">
                        <c:v>Branch C (-15% OC 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'Branch C -15%OC'!$E$3:$E$4</c15:sqref>
                        </c15:formulaRef>
                      </c:ext>
                    </c:extLst>
                    <c:numCache>
                      <c:formatCode>0.00%</c:formatCode>
                      <c:ptCount val="2"/>
                      <c:pt idx="0">
                        <c:v>7.6923076923076927E-2</c:v>
                      </c:pt>
                      <c:pt idx="1">
                        <c:v>0.2153846153846154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0640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97664"/>
        <c:crosses val="autoZero"/>
        <c:auto val="1"/>
        <c:lblAlgn val="ctr"/>
        <c:lblOffset val="100"/>
        <c:noMultiLvlLbl val="0"/>
      </c:catAx>
      <c:valAx>
        <c:axId val="206409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C -15%OC'!$E$2</c:f>
              <c:strCache>
                <c:ptCount val="1"/>
                <c:pt idx="0">
                  <c:v>Profit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'Branch C -15%OC'!$A$3:$A$4</c:f>
              <c:strCache>
                <c:ptCount val="2"/>
                <c:pt idx="0">
                  <c:v>Branch C</c:v>
                </c:pt>
                <c:pt idx="1">
                  <c:v>Branch C (-15% OC )</c:v>
                </c:pt>
              </c:strCache>
            </c:strRef>
          </c:cat>
          <c:val>
            <c:numRef>
              <c:f>'Branch C -15%OC'!$E$3:$E$4</c:f>
              <c:numCache>
                <c:formatCode>0.00%</c:formatCode>
                <c:ptCount val="2"/>
                <c:pt idx="0">
                  <c:v>7.6923076923076927E-2</c:v>
                </c:pt>
                <c:pt idx="1">
                  <c:v>0.2153846153846154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4101472"/>
        <c:axId val="2064102016"/>
      </c:barChart>
      <c:catAx>
        <c:axId val="20641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02016"/>
        <c:crosses val="autoZero"/>
        <c:auto val="1"/>
        <c:lblAlgn val="ctr"/>
        <c:lblOffset val="100"/>
        <c:noMultiLvlLbl val="0"/>
      </c:catAx>
      <c:valAx>
        <c:axId val="206410201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06410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220133</xdr:colOff>
      <xdr:row>5</xdr:row>
      <xdr:rowOff>184574</xdr:rowOff>
    </xdr:from>
    <xdr:to>
      <xdr:col>3</xdr:col>
      <xdr:colOff>1354666</xdr:colOff>
      <xdr:row>21</xdr:row>
      <xdr:rowOff>38947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6</xdr:row>
      <xdr:rowOff>5924</xdr:rowOff>
    </xdr:from>
    <xdr:to>
      <xdr:col>2</xdr:col>
      <xdr:colOff>177800</xdr:colOff>
      <xdr:row>21</xdr:row>
      <xdr:rowOff>46564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2489199</xdr:colOff>
      <xdr:row>21</xdr:row>
      <xdr:rowOff>110067</xdr:rowOff>
    </xdr:from>
    <xdr:ext cx="4961467" cy="436786"/>
    <xdr:sp macro="" textlink="">
      <xdr:nvSpPr>
        <xdr:cNvPr id="5" name="TextBox 4"/>
        <xdr:cNvSpPr txBox="1"/>
      </xdr:nvSpPr>
      <xdr:spPr>
        <a:xfrm>
          <a:off x="6688666" y="4241800"/>
          <a:ext cx="4961467" cy="43678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lvl="0" algn="l"/>
          <a:r>
            <a:rPr lang="en-US" sz="1100" b="1"/>
            <a:t>Branch B had the highest net profit at $17,500, followed by Branch A at $13,000, while Branch C had the lowest net net profit at $4,000 due to the high OC.</a:t>
          </a:r>
        </a:p>
      </xdr:txBody>
    </xdr:sp>
    <xdr:clientData/>
  </xdr:oneCellAnchor>
  <xdr:oneCellAnchor>
    <xdr:from>
      <xdr:col>5</xdr:col>
      <xdr:colOff>753534</xdr:colOff>
      <xdr:row>5</xdr:row>
      <xdr:rowOff>177797</xdr:rowOff>
    </xdr:from>
    <xdr:ext cx="3276599" cy="2844803"/>
    <xdr:sp macro="" textlink="">
      <xdr:nvSpPr>
        <xdr:cNvPr id="6" name="TextBox 5"/>
        <xdr:cNvSpPr txBox="1"/>
      </xdr:nvSpPr>
      <xdr:spPr>
        <a:xfrm>
          <a:off x="8382001" y="1329264"/>
          <a:ext cx="3276599" cy="284480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 b="1" u="sng"/>
            <a:t>Bouns</a:t>
          </a:r>
          <a:r>
            <a:rPr lang="en-US" sz="1400" b="1" u="sng" baseline="0"/>
            <a:t> &amp; Improvenment Recommendation</a:t>
          </a:r>
          <a:br>
            <a:rPr lang="en-US" sz="1400" b="1" u="sng" baseline="0"/>
          </a:br>
          <a:r>
            <a:rPr lang="en-US" sz="1100" b="1" i="1" u="none" baseline="0"/>
            <a:t>- </a:t>
          </a:r>
          <a:r>
            <a:rPr lang="en-US" b="1" i="1" u="none"/>
            <a:t>Branch B</a:t>
          </a:r>
          <a:r>
            <a:rPr lang="en-US"/>
            <a:t> should receive the Performance Bonus because it achieved the highest net profit and strongest profit margin while also receiving the most positive customer feedback</a:t>
          </a:r>
          <a:r>
            <a:rPr lang="en-US" sz="1100" b="0" baseline="0"/>
            <a:t>.</a:t>
          </a:r>
          <a:br>
            <a:rPr lang="en-US" sz="1100" b="0" baseline="0"/>
          </a:br>
          <a:r>
            <a:rPr lang="en-US" sz="1100" b="1" baseline="0"/>
            <a:t>- </a:t>
          </a:r>
          <a:r>
            <a:rPr lang="en-US" b="1"/>
            <a:t>Branch A</a:t>
          </a:r>
          <a:r>
            <a:rPr lang="en-US"/>
            <a:t> performed reasonably well financially, but operational improvements are needed to reduce customer wait times and improve efficiency.</a:t>
          </a:r>
        </a:p>
        <a:p>
          <a:r>
            <a:rPr lang="en-US" sz="1100" b="1" baseline="0"/>
            <a:t>- </a:t>
          </a:r>
          <a:r>
            <a:rPr lang="en-US" b="1"/>
            <a:t>Branch C </a:t>
          </a:r>
          <a:r>
            <a:rPr lang="en-US"/>
            <a:t>must receive a Process Improvement Plan because, despite having the highest sales revenue, its high operating costs and negative customer feedback significantly reduced profitability. Improving delivery speed and lowering shipping-related issues could help Branch C become more competitive and profitable.</a:t>
          </a:r>
          <a:endParaRPr lang="en-US" sz="1100" b="0"/>
        </a:p>
      </xdr:txBody>
    </xdr:sp>
    <xdr:clientData/>
  </xdr:oneCellAnchor>
  <xdr:twoCellAnchor>
    <xdr:from>
      <xdr:col>3</xdr:col>
      <xdr:colOff>1388534</xdr:colOff>
      <xdr:row>6</xdr:row>
      <xdr:rowOff>0</xdr:rowOff>
    </xdr:from>
    <xdr:to>
      <xdr:col>5</xdr:col>
      <xdr:colOff>702734</xdr:colOff>
      <xdr:row>21</xdr:row>
      <xdr:rowOff>40640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121920</xdr:rowOff>
    </xdr:from>
    <xdr:to>
      <xdr:col>4</xdr:col>
      <xdr:colOff>220980</xdr:colOff>
      <xdr:row>24</xdr:row>
      <xdr:rowOff>137160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5</xdr:row>
      <xdr:rowOff>129540</xdr:rowOff>
    </xdr:from>
    <xdr:to>
      <xdr:col>7</xdr:col>
      <xdr:colOff>571500</xdr:colOff>
      <xdr:row>24</xdr:row>
      <xdr:rowOff>144780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22860</xdr:colOff>
      <xdr:row>25</xdr:row>
      <xdr:rowOff>45720</xdr:rowOff>
    </xdr:from>
    <xdr:ext cx="7642860" cy="436786"/>
    <xdr:sp macro="" textlink="">
      <xdr:nvSpPr>
        <xdr:cNvPr id="8" name="TextBox 7"/>
        <xdr:cNvSpPr txBox="1"/>
      </xdr:nvSpPr>
      <xdr:spPr>
        <a:xfrm>
          <a:off x="22860" y="4800600"/>
          <a:ext cx="7642860" cy="43678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Reducing operating costs by 15% would significantly improve Branch C's profitability, increasing its profit margin from </a:t>
          </a:r>
          <a:r>
            <a:rPr lang="en-US" b="1"/>
            <a:t>7.7%</a:t>
          </a:r>
          <a:r>
            <a:rPr lang="en-US"/>
            <a:t> to </a:t>
          </a:r>
          <a:r>
            <a:rPr lang="en-US" b="1"/>
            <a:t>21.5%</a:t>
          </a:r>
          <a:r>
            <a:rPr lang="en-US"/>
            <a:t>, which translates to a </a:t>
          </a:r>
          <a:r>
            <a:rPr lang="en-US" b="1"/>
            <a:t>$7,200 </a:t>
          </a:r>
          <a:r>
            <a:rPr lang="en-US"/>
            <a:t>increase in net profit.</a:t>
          </a:r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data" displayName="data" ref="A2:F5" totalsRowShown="0">
  <autoFilter ref="A2:F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Branch "/>
    <tableColumn id="2" name="Total Sales " dataDxfId="11" dataCellStyle="Currency"/>
    <tableColumn id="3" name="Operational Cost" dataDxfId="10" dataCellStyle="Currency"/>
    <tableColumn id="4" name="Customers Feedback"/>
    <tableColumn id="5" name="Net Profit " dataDxfId="9">
      <calculatedColumnFormula>B3-C3</calculatedColumnFormula>
    </tableColumn>
    <tableColumn id="6" name="Profit Margin %" dataDxfId="8" dataCellStyle="Percent">
      <calculatedColumnFormula>E3/B3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5" name="data6" displayName="data6" ref="A2:E5" totalsRowCount="1">
  <autoFilter ref="A2:E4"/>
  <tableColumns count="5">
    <tableColumn id="1" name="Branch "/>
    <tableColumn id="2" name="Total Sales " dataDxfId="7" totalsRowDxfId="6" dataCellStyle="Currency"/>
    <tableColumn id="3" name="Operational Cost" totalsRowFunction="custom" dataDxfId="5" totalsRowDxfId="4" dataCellStyle="Currency">
      <totalsRowFormula>C4-C3</totalsRowFormula>
    </tableColumn>
    <tableColumn id="5" name="Net Profit " totalsRowFunction="custom" dataDxfId="3" totalsRowDxfId="2">
      <calculatedColumnFormula>B3-C3</calculatedColumnFormula>
      <totalsRowFormula>D4-D3</totalsRowFormula>
    </tableColumn>
    <tableColumn id="6" name="Profit Margin %" totalsRowFunction="custom" dataDxfId="1" totalsRowDxfId="0" dataCellStyle="Percent">
      <calculatedColumnFormula>D3/B3</calculatedColumnFormula>
      <totalsRowFormula>E4-E3</totalsRow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zoomScale="90" zoomScaleNormal="90" workbookViewId="0">
      <selection activeCell="N14" sqref="N14"/>
    </sheetView>
  </sheetViews>
  <sheetFormatPr defaultRowHeight="14.4" x14ac:dyDescent="0.3"/>
  <cols>
    <col min="1" max="1" width="21.6640625" customWidth="1"/>
    <col min="2" max="2" width="16" customWidth="1"/>
    <col min="3" max="3" width="23.44140625" customWidth="1"/>
    <col min="4" max="4" width="37.5546875" customWidth="1"/>
    <col min="5" max="5" width="12.44140625" customWidth="1"/>
    <col min="6" max="6" width="15.88671875" customWidth="1"/>
  </cols>
  <sheetData>
    <row r="1" spans="1:6" ht="31.8" thickBot="1" x14ac:dyDescent="0.65">
      <c r="A1" s="23" t="s">
        <v>22</v>
      </c>
      <c r="B1" s="24"/>
      <c r="C1" s="25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10</v>
      </c>
      <c r="F2" t="s">
        <v>11</v>
      </c>
    </row>
    <row r="3" spans="1:6" x14ac:dyDescent="0.3">
      <c r="A3" t="s">
        <v>4</v>
      </c>
      <c r="B3" s="9">
        <v>45000</v>
      </c>
      <c r="C3" s="9">
        <v>32000</v>
      </c>
      <c r="D3" t="s">
        <v>7</v>
      </c>
      <c r="E3" s="10">
        <f>B3-C3</f>
        <v>13000</v>
      </c>
      <c r="F3" s="2">
        <f>E3/B3</f>
        <v>0.28888888888888886</v>
      </c>
    </row>
    <row r="4" spans="1:6" x14ac:dyDescent="0.3">
      <c r="A4" t="s">
        <v>6</v>
      </c>
      <c r="B4" s="9">
        <v>38500</v>
      </c>
      <c r="C4" s="9">
        <v>21000</v>
      </c>
      <c r="D4" t="s">
        <v>8</v>
      </c>
      <c r="E4" s="10">
        <f>B4-C4</f>
        <v>17500</v>
      </c>
      <c r="F4" s="2">
        <f t="shared" ref="F4:F5" si="0">E4/B4</f>
        <v>0.45454545454545453</v>
      </c>
    </row>
    <row r="5" spans="1:6" x14ac:dyDescent="0.3">
      <c r="A5" t="s">
        <v>5</v>
      </c>
      <c r="B5" s="9">
        <v>52000</v>
      </c>
      <c r="C5" s="9">
        <v>48000</v>
      </c>
      <c r="D5" t="s">
        <v>9</v>
      </c>
      <c r="E5" s="10">
        <f>B5-C5</f>
        <v>4000</v>
      </c>
      <c r="F5" s="2">
        <f t="shared" si="0"/>
        <v>7.6923076923076927E-2</v>
      </c>
    </row>
    <row r="23" spans="1:6" ht="15" thickBot="1" x14ac:dyDescent="0.35"/>
    <row r="24" spans="1:6" x14ac:dyDescent="0.3">
      <c r="A24" s="26" t="s">
        <v>13</v>
      </c>
      <c r="B24" s="27"/>
    </row>
    <row r="25" spans="1:6" ht="15" thickBot="1" x14ac:dyDescent="0.35">
      <c r="A25" s="28"/>
      <c r="B25" s="29"/>
    </row>
    <row r="26" spans="1:6" ht="15" thickBot="1" x14ac:dyDescent="0.35">
      <c r="A26" s="3" t="s">
        <v>14</v>
      </c>
      <c r="B26" s="3" t="s">
        <v>0</v>
      </c>
      <c r="C26" s="16" t="s">
        <v>15</v>
      </c>
      <c r="D26" s="17"/>
      <c r="E26" s="17"/>
      <c r="F26" s="18"/>
    </row>
    <row r="27" spans="1:6" s="13" customFormat="1" ht="14.4" customHeight="1" thickTop="1" x14ac:dyDescent="0.3">
      <c r="A27" s="14">
        <v>1</v>
      </c>
      <c r="B27" s="19" t="s">
        <v>16</v>
      </c>
      <c r="C27" s="19" t="s">
        <v>21</v>
      </c>
      <c r="D27" s="4"/>
      <c r="E27" s="11"/>
      <c r="F27" s="5"/>
    </row>
    <row r="28" spans="1:6" ht="14.4" customHeight="1" x14ac:dyDescent="0.3">
      <c r="A28" s="15">
        <v>2</v>
      </c>
      <c r="B28" s="20" t="s">
        <v>17</v>
      </c>
      <c r="C28" s="20" t="s">
        <v>19</v>
      </c>
      <c r="D28" s="6"/>
      <c r="E28" s="12"/>
      <c r="F28" s="7"/>
    </row>
    <row r="29" spans="1:6" ht="14.4" customHeight="1" x14ac:dyDescent="0.3">
      <c r="A29" s="14">
        <v>3</v>
      </c>
      <c r="B29" s="19" t="s">
        <v>18</v>
      </c>
      <c r="C29" s="19" t="s">
        <v>20</v>
      </c>
      <c r="D29" s="4"/>
      <c r="E29" s="11"/>
      <c r="F29" s="5"/>
    </row>
  </sheetData>
  <mergeCells count="2">
    <mergeCell ref="A1:C1"/>
    <mergeCell ref="A24:B25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tabSelected="1" workbookViewId="0">
      <selection activeCell="K10" sqref="K10"/>
    </sheetView>
  </sheetViews>
  <sheetFormatPr defaultRowHeight="14.4" x14ac:dyDescent="0.3"/>
  <cols>
    <col min="1" max="1" width="17.44140625" bestFit="1" customWidth="1"/>
    <col min="2" max="2" width="16" customWidth="1"/>
    <col min="3" max="3" width="23.33203125" customWidth="1"/>
    <col min="4" max="4" width="11.77734375" bestFit="1" customWidth="1"/>
    <col min="5" max="5" width="17.44140625" customWidth="1"/>
  </cols>
  <sheetData>
    <row r="1" spans="1:5" ht="31.8" thickBot="1" x14ac:dyDescent="0.65">
      <c r="A1" s="23" t="s">
        <v>23</v>
      </c>
      <c r="B1" s="24"/>
      <c r="C1" s="25"/>
    </row>
    <row r="2" spans="1:5" x14ac:dyDescent="0.3">
      <c r="A2" t="s">
        <v>0</v>
      </c>
      <c r="B2" t="s">
        <v>1</v>
      </c>
      <c r="C2" t="s">
        <v>2</v>
      </c>
      <c r="D2" t="s">
        <v>10</v>
      </c>
      <c r="E2" t="s">
        <v>11</v>
      </c>
    </row>
    <row r="3" spans="1:5" x14ac:dyDescent="0.3">
      <c r="A3" t="s">
        <v>5</v>
      </c>
      <c r="B3" s="9">
        <v>52000</v>
      </c>
      <c r="C3" s="9">
        <v>48000</v>
      </c>
      <c r="D3" s="10">
        <f>B3-C3</f>
        <v>4000</v>
      </c>
      <c r="E3" s="2">
        <f>D3/B3</f>
        <v>7.6923076923076927E-2</v>
      </c>
    </row>
    <row r="4" spans="1:5" x14ac:dyDescent="0.3">
      <c r="A4" t="s">
        <v>12</v>
      </c>
      <c r="B4" s="9">
        <v>52000</v>
      </c>
      <c r="C4" s="9">
        <f>C3*0.85</f>
        <v>40800</v>
      </c>
      <c r="D4" s="10">
        <f>B4-C4</f>
        <v>11200</v>
      </c>
      <c r="E4" s="8">
        <f>D4/B4</f>
        <v>0.2153846153846154</v>
      </c>
    </row>
    <row r="5" spans="1:5" x14ac:dyDescent="0.3">
      <c r="B5" s="21"/>
      <c r="C5" s="22">
        <f>C4-C3</f>
        <v>-7200</v>
      </c>
      <c r="D5" s="22">
        <f t="shared" ref="D5:E5" si="0">D4-D3</f>
        <v>7200</v>
      </c>
      <c r="E5" s="1">
        <f t="shared" si="0"/>
        <v>0.13846153846153847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</vt:lpstr>
      <vt:lpstr>Branch C -15%OC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2026-05-17T02:38:53Z</dcterms:created>
  <dcterms:modified xsi:type="dcterms:W3CDTF">2026-05-17T23:45:09Z</dcterms:modified>
</cp:coreProperties>
</file>